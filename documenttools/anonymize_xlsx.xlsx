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05" yWindow="-105" windowWidth="23258" windowHeight="12578"/>
  </bookViews>
  <sheets>
    <sheet name="sheet-one" sheetId="5" r:id="rId1"/>
    <sheet name="calculation" sheetId="4" r:id="rId2"/>
    <sheet name="values" sheetId="3" r:id="rId3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4" l="1"/>
  <c r="A6" i="4"/>
  <c r="B7" i="4"/>
  <c r="B6" i="4"/>
  <c r="E7" i="4"/>
  <c r="D7" i="4"/>
  <c r="F7" i="4"/>
  <c r="F6" i="4"/>
  <c r="G7" i="4"/>
  <c r="G6" i="4"/>
  <c r="B1" i="3" l="1"/>
  <c r="D6" i="4" l="1"/>
  <c r="E6" i="4"/>
  <c r="D4" i="4" l="1"/>
  <c r="F4" i="4"/>
  <c r="G4" i="4"/>
  <c r="C4" i="4"/>
  <c r="E4" i="4"/>
  <c r="B4" i="4" l="1"/>
  <c r="F5" i="4"/>
  <c r="C5" i="4" s="1"/>
  <c r="C3" i="5"/>
  <c r="C5" i="5"/>
  <c r="G5" i="4"/>
</calcChain>
</file>

<file path=xl/sharedStrings.xml><?xml version="1.0" encoding="utf-8"?>
<sst xmlns="http://schemas.openxmlformats.org/spreadsheetml/2006/main" count="28" uniqueCount="23">
  <si>
    <t>IBAN</t>
  </si>
  <si>
    <t>SOLL</t>
  </si>
  <si>
    <t>Sender</t>
  </si>
  <si>
    <t>31.03.2020</t>
  </si>
  <si>
    <t>Main Title</t>
  </si>
  <si>
    <t>total minus:</t>
  </si>
  <si>
    <t>Total plus:</t>
  </si>
  <si>
    <t>Date</t>
  </si>
  <si>
    <t>Max Mustermann</t>
  </si>
  <si>
    <t>assigned</t>
  </si>
  <si>
    <t>Mustermann</t>
  </si>
  <si>
    <t>Mandy Musterfrau</t>
  </si>
  <si>
    <t>Musterfrau</t>
  </si>
  <si>
    <t>Value</t>
  </si>
  <si>
    <t>Total:</t>
  </si>
  <si>
    <t>DE1234567891234</t>
  </si>
  <si>
    <t>Kasse Max Mustermann</t>
  </si>
  <si>
    <t>Kasse Max Musterfrau</t>
  </si>
  <si>
    <t>Description</t>
  </si>
  <si>
    <t>DE1234565488749</t>
  </si>
  <si>
    <t>IN</t>
  </si>
  <si>
    <t>OUT</t>
  </si>
  <si>
    <t>unassigned: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</si>
</sst>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\ [$€-407]"/>
    <numFmt numFmtId="166" formatCode="#,##0.00\ &quot;€&quot;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Liberation Sans"/>
      <charset val="1"/>
    </font>
    <font>
      <b/>
      <sz val="10"/>
      <color rgb="FF000000"/>
      <name val="Liberation Sans"/>
      <charset val="1"/>
    </font>
    <font>
      <b/>
      <sz val="10"/>
      <color theme="1"/>
      <name val="Liberation Sans"/>
      <charset val="1"/>
    </font>
    <font>
      <b/>
      <sz val="10"/>
      <color rgb="FFC00000"/>
      <name val="Liberation Sans"/>
      <charset val="1"/>
    </font>
    <font>
      <b/>
      <sz val="10"/>
      <color theme="9" tint="-0.249977111117893"/>
      <name val="Liberation Sans"/>
      <charset val="1"/>
    </font>
    <font>
      <sz val="11"/>
      <color theme="9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9" tint="-0.249977111117893"/>
      <name val="Calibri"/>
      <family val="2"/>
    </font>
    <font>
      <sz val="10"/>
      <color theme="5" tint="-0.249977111117893"/>
      <name val="Liberation Sans"/>
      <family val="2"/>
    </font>
    <font>
      <sz val="10"/>
      <color theme="1"/>
      <name val="Liberatio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5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164" fontId="10" fillId="0" borderId="0" xfId="0" applyNumberFormat="1" applyFont="1" applyAlignment="1">
      <alignment vertical="center"/>
    </xf>
    <xf numFmtId="164" fontId="9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4" fontId="0" fillId="0" borderId="0" xfId="0" applyNumberFormat="1" applyAlignment="1">
      <alignment horizontal="left"/>
    </xf>
    <xf numFmtId="0" fontId="11" fillId="0" borderId="0" xfId="0" applyFont="1"/>
    <xf numFmtId="0" fontId="1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NumberForma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/>
    <xf numFmtId="166" fontId="0" fillId="0" borderId="0" xfId="0" applyNumberFormat="1"/>
    <xf numFmtId="166" fontId="0" fillId="0" borderId="0" xfId="0" applyNumberFormat="1" applyAlignment="1">
      <alignment horizontal="right"/>
    </xf>
    <xf numFmtId="166" fontId="3" fillId="0" borderId="0" xfId="0" applyNumberFormat="1" applyFont="1" applyAlignment="1">
      <alignment horizontal="right"/>
    </xf>
    <xf numFmtId="0" fontId="0" fillId="0" borderId="0" xfId="0" quotePrefix="1"/>
    <xf numFmtId="0" fontId="15" fillId="0" borderId="0" xfId="0" applyFont="1"/>
    <xf numFmtId="14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0"/>
  <sheetViews>
    <sheetView tabSelected="1" workbookViewId="0">
      <selection activeCell="G19" sqref="G19"/>
    </sheetView>
  </sheetViews>
  <sheetFormatPr baseColWidth="10" defaultColWidth="9.06640625" defaultRowHeight="14.25" x14ac:dyDescent="0.45"/>
  <cols>
    <col min="2" max="2" width="27.265625" customWidth="1"/>
    <col min="3" max="3" width="14.59765625" customWidth="1"/>
    <col min="4" max="4" width="13.1328125" customWidth="1"/>
    <col min="12" max="12" width="9.6640625" bestFit="1" customWidth="1"/>
    <col min="13" max="13" width="11" customWidth="1"/>
    <col min="14" max="14" width="10.86328125" bestFit="1" customWidth="1"/>
    <col min="15" max="15" width="9.9296875" bestFit="1" customWidth="1"/>
  </cols>
  <sheetData>
    <row r="2" spans="1:17" ht="15.75" x14ac:dyDescent="0.5">
      <c r="B2" s="1" t="s">
        <v>4</v>
      </c>
    </row>
    <row r="3" spans="1:17" x14ac:dyDescent="0.45">
      <c r="A3" s="17"/>
      <c r="B3" s="16" t="s">
        <v>6</v>
      </c>
      <c r="C3" s="20">
        <f>calculation!D4</f>
        <v>30</v>
      </c>
      <c r="L3" s="2"/>
      <c r="M3" s="32"/>
      <c r="N3" s="32"/>
      <c r="O3" s="32"/>
      <c r="Q3" s="32"/>
    </row>
    <row r="4" spans="1:17" x14ac:dyDescent="0.45">
      <c r="A4" s="17"/>
      <c r="B4" s="16"/>
      <c r="C4" s="18"/>
      <c r="L4" s="2"/>
      <c r="M4" s="32"/>
      <c r="N4" s="32"/>
      <c r="O4" s="32"/>
      <c r="Q4" s="32"/>
    </row>
    <row r="5" spans="1:17" s="17" customFormat="1" x14ac:dyDescent="0.45">
      <c r="B5" s="16" t="s">
        <v>5</v>
      </c>
      <c r="C5" s="19">
        <f>calculation!E4</f>
        <v>0</v>
      </c>
      <c r="L5" s="2"/>
      <c r="M5" s="32"/>
      <c r="N5" s="32"/>
      <c r="O5" s="32"/>
      <c r="P5"/>
      <c r="Q5" s="32"/>
    </row>
    <row r="6" spans="1:17" x14ac:dyDescent="0.45">
      <c r="L6" s="2"/>
      <c r="M6" s="32"/>
      <c r="N6" s="32"/>
      <c r="O6" s="32"/>
      <c r="Q6" s="32"/>
    </row>
    <row r="7" spans="1:17" x14ac:dyDescent="0.45">
      <c r="B7" s="10" t="s">
        <v>7</v>
      </c>
      <c r="C7" s="2">
        <v>44196</v>
      </c>
      <c r="D7" s="37"/>
      <c r="H7" s="8"/>
      <c r="L7" s="2"/>
      <c r="M7" s="32"/>
      <c r="N7" s="32"/>
      <c r="O7" s="32"/>
      <c r="Q7" s="32"/>
    </row>
    <row r="8" spans="1:17" x14ac:dyDescent="0.45">
      <c r="B8" s="10"/>
      <c r="C8" s="8"/>
      <c r="D8" s="37"/>
      <c r="J8" s="8"/>
      <c r="L8" s="2"/>
      <c r="M8" s="32"/>
      <c r="N8" s="32"/>
      <c r="O8" s="32"/>
      <c r="Q8" s="32"/>
    </row>
    <row r="9" spans="1:17" x14ac:dyDescent="0.45">
      <c r="M9" s="33"/>
      <c r="O9" s="34"/>
      <c r="Q9" s="32"/>
    </row>
    <row r="10" spans="1:17" x14ac:dyDescent="0.45">
      <c r="L10" s="2"/>
      <c r="M10" s="33"/>
      <c r="O10" s="34"/>
      <c r="Q10" s="32"/>
    </row>
    <row r="11" spans="1:17" x14ac:dyDescent="0.45">
      <c r="B11" s="10"/>
      <c r="C11" s="8"/>
      <c r="O11" s="34"/>
      <c r="Q11" s="32"/>
    </row>
    <row r="12" spans="1:17" x14ac:dyDescent="0.45">
      <c r="O12" s="34"/>
      <c r="P12" s="34"/>
      <c r="Q12" s="32"/>
    </row>
    <row r="13" spans="1:17" x14ac:dyDescent="0.45">
      <c r="L13" s="2"/>
      <c r="M13" s="33"/>
      <c r="N13" s="32"/>
      <c r="O13" s="34"/>
      <c r="P13" s="34"/>
      <c r="Q13" s="32"/>
    </row>
    <row r="14" spans="1:17" x14ac:dyDescent="0.45">
      <c r="D14" s="35"/>
      <c r="L14" s="2"/>
      <c r="M14" s="33"/>
      <c r="N14" s="32"/>
      <c r="O14" s="34"/>
      <c r="P14" s="34"/>
      <c r="Q14" s="32"/>
    </row>
    <row r="17" spans="3:3" x14ac:dyDescent="0.45">
      <c r="C17" s="8"/>
    </row>
    <row r="19" spans="3:3" x14ac:dyDescent="0.45">
      <c r="C19" s="8"/>
    </row>
    <row r="20" spans="3:3" x14ac:dyDescent="0.45">
      <c r="C20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5" topLeftCell="A6" activePane="bottomLeft" state="frozen"/>
      <selection pane="bottomLeft" activeCell="A5" sqref="A5"/>
    </sheetView>
  </sheetViews>
  <sheetFormatPr baseColWidth="10" defaultColWidth="9.06640625" defaultRowHeight="14.25" x14ac:dyDescent="0.45"/>
  <cols>
    <col min="1" max="1" width="12.1328125" customWidth="1"/>
    <col min="2" max="2" width="11" style="3" customWidth="1"/>
    <col min="3" max="5" width="17" customWidth="1"/>
    <col min="6" max="7" width="17.73046875" customWidth="1"/>
  </cols>
  <sheetData>
    <row r="1" spans="1:7" s="10" customFormat="1" x14ac:dyDescent="0.45">
      <c r="A1" s="13"/>
      <c r="F1" s="29" t="s">
        <v>8</v>
      </c>
      <c r="G1" s="30" t="s">
        <v>11</v>
      </c>
    </row>
    <row r="2" spans="1:7" s="25" customFormat="1" x14ac:dyDescent="0.45">
      <c r="A2" s="23"/>
      <c r="B2" s="24"/>
    </row>
    <row r="3" spans="1:7" x14ac:dyDescent="0.45">
      <c r="C3" s="14" t="s">
        <v>1</v>
      </c>
      <c r="D3" s="15" t="s">
        <v>20</v>
      </c>
      <c r="E3" s="14" t="s">
        <v>21</v>
      </c>
      <c r="F3" s="12" t="s">
        <v>10</v>
      </c>
      <c r="G3" s="12" t="s">
        <v>12</v>
      </c>
    </row>
    <row r="4" spans="1:7" s="8" customFormat="1" x14ac:dyDescent="0.45">
      <c r="A4" s="10" t="s">
        <v>22</v>
      </c>
      <c r="B4" s="26">
        <f>COUNTIF(B6:B4314,"Fehlt!")</f>
        <v>0</v>
      </c>
      <c r="C4" s="8">
        <f>SUM(C6:C314)</f>
        <v>0</v>
      </c>
      <c r="D4" s="8">
        <f>SUM(D6:D114)</f>
        <v>30</v>
      </c>
      <c r="E4" s="8">
        <f>SUM(E6:E99129)</f>
        <v>0</v>
      </c>
      <c r="F4" s="8">
        <f>SUM(F6:F314)</f>
        <v>30</v>
      </c>
      <c r="G4" s="8">
        <f>SUM(G6:G314)</f>
        <v>30</v>
      </c>
    </row>
    <row r="5" spans="1:7" s="8" customFormat="1" x14ac:dyDescent="0.45">
      <c r="A5" s="21" t="s">
        <v>7</v>
      </c>
      <c r="B5" s="11" t="s">
        <v>9</v>
      </c>
      <c r="C5" s="9">
        <f>SUM(F5:G5)</f>
        <v>60</v>
      </c>
      <c r="D5" s="9"/>
      <c r="E5" s="9"/>
      <c r="F5" s="8">
        <f t="shared" ref="F5" si="0">F4-$C$4</f>
        <v>30</v>
      </c>
      <c r="G5" s="8">
        <f>G4-$C$4</f>
        <v>30</v>
      </c>
    </row>
    <row r="6" spans="1:7" x14ac:dyDescent="0.45">
      <c r="A6" t="str">
        <f>values!A6</f>
        <v>31.03.2020</v>
      </c>
      <c r="B6" s="3" t="str">
        <f>IF(SUM(E6:G6)&lt;&gt;0,"yes","missing!")</f>
        <v>yes</v>
      </c>
      <c r="D6" s="22">
        <f>IF(values!B7&gt;0,values!B7,0)</f>
        <v>30</v>
      </c>
      <c r="E6">
        <f>IF(values!B7&lt;0,values!B7,0)</f>
        <v>0</v>
      </c>
      <c r="F6">
        <f>IF(
  AND(
    values!$B6 &gt; 0,
    OR(
      ISNUMBER(SEARCH(F$3, values!$C6)),
      ISNUMBER(SEARCH(F$3, values!$D6)),
      AND(F$2 = values!$E6, F$2&lt;&gt;"")
    )
  ),
  values!$B6,
  0
)</f>
        <v>30</v>
      </c>
      <c r="G6">
        <f>IF(
  AND(
    values!$B6 &gt; 0,
    OR(
      ISNUMBER(SEARCH(G$3, values!$C6)),
      ISNUMBER(SEARCH(G$3, values!$D6)),
      AND(G$2 = values!$E6, G$2&lt;&gt;"")
    )
  ),
  values!$B6,
  0
)</f>
        <v>0</v>
      </c>
    </row>
    <row r="7" spans="1:7" x14ac:dyDescent="0.45">
      <c r="A7" t="str">
        <f>values!A7</f>
        <v>31.03.2020</v>
      </c>
      <c r="B7" s="3" t="str">
        <f>IF(SUM(E7:G7)&lt;&gt;0,"yes","missing!")</f>
        <v>yes</v>
      </c>
      <c r="C7" s="8"/>
      <c r="D7" s="22">
        <f>IF(values!B8&gt;0,values!B8,0)</f>
        <v>0</v>
      </c>
      <c r="E7">
        <f>IF(values!B8&lt;0,values!B8,0)</f>
        <v>0</v>
      </c>
      <c r="F7">
        <f>IF(
  AND(
    values!$B7 &gt; 0,
    OR(
      ISNUMBER(SEARCH(F$3, values!$C7)),
      ISNUMBER(SEARCH(F$3, values!$D7)),
      AND(F$2 = values!$E7, F$2&lt;&gt;"")
    )
  ),
  values!$B7,
  0
)</f>
        <v>0</v>
      </c>
      <c r="G7">
        <f>IF(
  AND(
    values!$B7 &gt; 0,
    OR(
      ISNUMBER(SEARCH(G$3, values!$C7)),
      ISNUMBER(SEARCH(G$3, values!$D7)),
      AND(G$2 = values!$E7, G$2&lt;&gt;"")
    )
  ),
  values!$B7,
  0
)</f>
        <v>30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5" topLeftCell="A6" activePane="bottomLeft" state="frozen"/>
      <selection pane="bottomLeft" activeCell="F9" sqref="F9"/>
    </sheetView>
  </sheetViews>
  <sheetFormatPr baseColWidth="10" defaultColWidth="9.06640625" defaultRowHeight="14.25" x14ac:dyDescent="0.45"/>
  <cols>
    <col min="1" max="1" width="11.73046875" customWidth="1"/>
    <col min="2" max="2" width="11.265625" customWidth="1"/>
    <col min="3" max="3" width="65.73046875" bestFit="1" customWidth="1"/>
    <col min="4" max="4" width="82.86328125" bestFit="1" customWidth="1"/>
    <col min="5" max="5" width="25" bestFit="1" customWidth="1"/>
  </cols>
  <sheetData>
    <row r="1" spans="1:5" x14ac:dyDescent="0.45">
      <c r="A1" s="10" t="s">
        <v>14</v>
      </c>
      <c r="B1" s="5">
        <f>SUM(B6:B999341)</f>
        <v>60</v>
      </c>
      <c r="C1" s="27"/>
      <c r="D1" s="28"/>
    </row>
    <row r="2" spans="1:5" x14ac:dyDescent="0.45">
      <c r="B2" s="5"/>
      <c r="C2" s="27"/>
      <c r="D2" s="28"/>
    </row>
    <row r="3" spans="1:5" x14ac:dyDescent="0.45">
      <c r="A3" s="31"/>
      <c r="B3" s="5"/>
    </row>
    <row r="4" spans="1:5" x14ac:dyDescent="0.45">
      <c r="A4" s="31"/>
    </row>
    <row r="5" spans="1:5" x14ac:dyDescent="0.45">
      <c r="A5" s="6" t="s">
        <v>7</v>
      </c>
      <c r="B5" s="7" t="s">
        <v>13</v>
      </c>
      <c r="C5" s="7" t="s">
        <v>2</v>
      </c>
      <c r="D5" s="7" t="s">
        <v>18</v>
      </c>
      <c r="E5" t="s">
        <v>0</v>
      </c>
    </row>
    <row r="6" spans="1:5" x14ac:dyDescent="0.45">
      <c r="A6" s="4" t="s">
        <v>3</v>
      </c>
      <c r="B6" s="4">
        <v>30</v>
      </c>
      <c r="C6" s="36" t="s">
        <v>10</v>
      </c>
      <c r="D6" s="36" t="s">
        <v>16</v>
      </c>
      <c r="E6" t="s">
        <v>15</v>
      </c>
    </row>
    <row r="7" spans="1:5" x14ac:dyDescent="0.45">
      <c r="A7" s="4" t="s">
        <v>3</v>
      </c>
      <c r="B7" s="4">
        <v>30</v>
      </c>
      <c r="C7" s="4" t="s">
        <v>12</v>
      </c>
      <c r="D7" s="4" t="s">
        <v>17</v>
      </c>
      <c r="E7" t="s">
        <v>19</v>
      </c>
    </row>
  </sheetData>
  <sortState ref="A690:F705">
    <sortCondition ref="A690:A705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sheet-one</vt:lpstr>
      <vt:lpstr>calculation</vt:lpstr>
      <vt:lpstr>values</vt:lpstr>
    </vt:vector>
  </TitlesOfParts>
  <Manager/>
  <Company>Zech Management GmbH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Kremling, Lisa</dc:creator>
  <cp:keywords/>
  <dc:description/>
  <cp:lastModifiedBy>Manfred</cp:lastModifiedBy>
  <cp:revision/>
  <dcterms:created xsi:type="dcterms:W3CDTF">2020-02-18T12:42:03Z</dcterms:created>
  <dcterms:modified xsi:type="dcterms:W3CDTF">2026-09-10T09:16:44Z</dcterms:modified>
  <cp:category/>
  <cp:contentStatus/>
</cp:coreProperties>
</file>